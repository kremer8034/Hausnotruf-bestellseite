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isübersicht" sheetId="1" state="visible" r:id="rId3"/>
    <sheet name="Zusatzoption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<sst xmlns="http://schemas.openxmlformats.org/spreadsheetml/2006/main" count="66" uniqueCount="52">
  <si>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BRK Hausnotruf Unterfranken – Preisübersicht aller Pakete</t>
  </si>
  <si>
    <t xml:space="preserve">Preise gültig ab 01.04.2026 | Quelle: https://brk-hausnotruf.de/ (abgerufen 31.07.2026)</t>
  </si>
  <si>
    <t xml:space="preserve">Paket</t>
  </si>
  <si>
    <t xml:space="preserve">Einsatzbereich</t>
  </si>
  <si>
    <t xml:space="preserve">Pflegekasse</t>
  </si>
  <si>
    <t xml:space="preserve">Grundgebühr mtl.
(ohne Kostenübernahme)</t>
  </si>
  <si>
    <t xml:space="preserve">Grundgebühr mtl.
(mit Kostenübernahme)</t>
  </si>
  <si>
    <t xml:space="preserve">Organisations-
pauschale (einmalig)</t>
  </si>
  <si>
    <t xml:space="preserve">Kaufpreis Gerät
(einmalig, inkl. MwSt.)</t>
  </si>
  <si>
    <t xml:space="preserve">Inklusiv-Einsätze
pro Jahr</t>
  </si>
  <si>
    <t xml:space="preserve">Einsatzpauschale
je weiterem Einsatz</t>
  </si>
  <si>
    <t xml:space="preserve">Kosten 1. Jahr
(ohne Kostenübernahme)</t>
  </si>
  <si>
    <t xml:space="preserve">Kosten 1. Jahr
(mit Kostenübernahme)</t>
  </si>
  <si>
    <t xml:space="preserve">Kosten Folgejahr
(ohne Kostenübernahme)</t>
  </si>
  <si>
    <t xml:space="preserve">Kosten Folgejahr
(mit Kostenübernahme)</t>
  </si>
  <si>
    <t xml:space="preserve">Basispaket</t>
  </si>
  <si>
    <t xml:space="preserve">Zu Hause</t>
  </si>
  <si>
    <t xml:space="preserve">Ohne Unterstützung der Pflegekasse</t>
  </si>
  <si>
    <t xml:space="preserve">–</t>
  </si>
  <si>
    <t xml:space="preserve">Pflegekassenpaket</t>
  </si>
  <si>
    <t xml:space="preserve">Nur mit Kostenübernahme der Pflegekasse möglich</t>
  </si>
  <si>
    <t xml:space="preserve">Komfortpaket</t>
  </si>
  <si>
    <t xml:space="preserve">Unterstützung durch Pflegekasse möglich</t>
  </si>
  <si>
    <t xml:space="preserve">Hausnotruf-Assistenzsystem</t>
  </si>
  <si>
    <t xml:space="preserve">Mobilrufpaket</t>
  </si>
  <si>
    <t xml:space="preserve">Zu Hause und unterwegs</t>
  </si>
  <si>
    <t xml:space="preserve">Notrufuhr</t>
  </si>
  <si>
    <t xml:space="preserve">Unterwegs (ggf. zu Hause)</t>
  </si>
  <si>
    <t xml:space="preserve">Hinweis: Berechnungslogik der grau hinterlegten Spalten: Kosten 1. Jahr = Grundgebühr × 12 + Organisationspauschale + Kaufpreis; Kosten Folgejahr = Grundgebühr × 12. Einsatzpauschalen und Zusatzoptionen sind darin NICHT enthalten.</t>
  </si>
  <si>
    <t xml:space="preserve">• „–" = für dieses Paket nicht vorgesehen bzw. nicht angeboten. Das Pflegekassenpaket ist ausschließlich mit bestätigter Kostenübernahme der Pflegekasse erhältlich.</t>
  </si>
  <si>
    <t xml:space="preserve">• Basispaket und Pflegekassenpaket: Einsatzpauschale von 89,00 € bereits ab dem 1. Einsatz. Alle übrigen Pakete: 6 Einsätze pro Jahr inklusive, ab dem 7. Einsatz 69,00 € je Einsatz.</t>
  </si>
  <si>
    <t xml:space="preserve">• Voraussetzung für die Kostenübernahme ist ein Pflegegrad und die Bestätigung der jeweiligen Pflegekasse.</t>
  </si>
  <si>
    <t xml:space="preserve">• Bei allen Paketen inklusive: Rotkreuz-Dose, Betreuungsanruf nach ca. 4 Wochen, Gutschein für einen Erste-Hilfe-Kurs.</t>
  </si>
  <si>
    <t xml:space="preserve">Zubuchbare Optionen</t>
  </si>
  <si>
    <t xml:space="preserve">Aufpreise zusätzlich zur monatlichen Grundgebühr des jeweiligen Pakets</t>
  </si>
  <si>
    <t xml:space="preserve">Option</t>
  </si>
  <si>
    <t xml:space="preserve">Aufpreis mtl.</t>
  </si>
  <si>
    <t xml:space="preserve">Aufpreis pro Jahr</t>
  </si>
  <si>
    <t xml:space="preserve">Buchbar bei</t>
  </si>
  <si>
    <t xml:space="preserve">Hinweis</t>
  </si>
  <si>
    <t xml:space="preserve">Tagestaste</t>
  </si>
  <si>
    <t xml:space="preserve">Komfortpaket, Hausnotruf-Assistenzsystem</t>
  </si>
  <si>
    <t xml:space="preserve">Timer im Gerät; wird die Taste nicht innerhalb von i. d. R. 24 Stunden gedrückt, löst das Gerät selbstständig einen Notruf aus.</t>
  </si>
  <si>
    <t xml:space="preserve">Servicegarantie</t>
  </si>
  <si>
    <t xml:space="preserve">Alle Pakete außer Notrufuhr</t>
  </si>
  <si>
    <t xml:space="preserve">Schlüsseltausch, Umzug des Geräts, Serviceöffnung bei Aussperrung, Ersatz von Handsender und Zubehör.</t>
  </si>
  <si>
    <t xml:space="preserve">Rauchmelder</t>
  </si>
  <si>
    <t xml:space="preserve">Pflegekassenpaket, Basispaket, Komfortpaket</t>
  </si>
  <si>
    <t xml:space="preserve">Aufschaltung zur BRK-Service- und Notrufzentrale; Installation erfolgt durch den Teilnehmer selbst.</t>
  </si>
  <si>
    <t xml:space="preserve">Trinkerinnerung und CO₂-Ampel</t>
  </si>
  <si>
    <t xml:space="preserve">Ohne Aufpreis im Assistenzsystem enthalten.</t>
  </si>
  <si>
    <t xml:space="preserve">Hinweis: Angaben laut Vergleichstabelle auf brk-hausnotruf.de, Preise gültig ab 01.04.2026.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</si>
</sst>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306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40404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30613"/>
        <bgColor rgb="FF99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3061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7" min="4" style="0" width="16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3" min="10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s">
        <v>16</v>
      </c>
      <c r="C5" s="5" t="s">
        <v>17</v>
      </c>
      <c r="D5" s="6" t="n">
        <v>34</v>
      </c>
      <c r="E5" s="6" t="s">
        <v>18</v>
      </c>
      <c r="F5" s="6" t="n">
        <v>59</v>
      </c>
      <c r="G5" s="6" t="s">
        <v>18</v>
      </c>
      <c r="H5" s="7" t="n">
        <v>0</v>
      </c>
      <c r="I5" s="6" t="n">
        <v>89</v>
      </c>
      <c r="J5" s="8" t="n">
        <f aca="false">IF(ISNUMBER(D5),D5*12+N(F5)+N(G5),"–")</f>
        <v>467</v>
      </c>
      <c r="K5" s="8" t="str">
        <f aca="false">IF(ISNUMBER(E5),E5*12+N(F5)+N(G5),"–")</f>
        <v>–</v>
      </c>
      <c r="L5" s="8" t="n">
        <f aca="false">IF(ISNUMBER(D5),D5*12,"–")</f>
        <v>408</v>
      </c>
      <c r="M5" s="8" t="str">
        <f aca="false">IF(ISNUMBER(E5),E5*12,"–")</f>
        <v>–</v>
      </c>
    </row>
    <row r="6" customFormat="false" ht="23.85" hidden="false" customHeight="false" outlineLevel="0" collapsed="false">
      <c r="A6" s="4" t="s">
        <v>19</v>
      </c>
      <c r="B6" s="5" t="s">
        <v>16</v>
      </c>
      <c r="C6" s="5" t="s">
        <v>20</v>
      </c>
      <c r="D6" s="6" t="s">
        <v>18</v>
      </c>
      <c r="E6" s="6" t="n">
        <v>0</v>
      </c>
      <c r="F6" s="6" t="n">
        <v>0</v>
      </c>
      <c r="G6" s="6" t="s">
        <v>18</v>
      </c>
      <c r="H6" s="7" t="n">
        <v>0</v>
      </c>
      <c r="I6" s="6" t="n">
        <v>89</v>
      </c>
      <c r="J6" s="8" t="str">
        <f aca="false">IF(ISNUMBER(D6),D6*12+N(F6)+N(G6),"–")</f>
        <v>–</v>
      </c>
      <c r="K6" s="8" t="n">
        <f aca="false">IF(ISNUMBER(E6),E6*12+N(F6)+N(G6),"–")</f>
        <v>0</v>
      </c>
      <c r="L6" s="8" t="str">
        <f aca="false">IF(ISNUMBER(D6),D6*12,"–")</f>
        <v>–</v>
      </c>
      <c r="M6" s="8" t="n">
        <f aca="false">IF(ISNUMBER(E6),E6*12,"–")</f>
        <v>0</v>
      </c>
    </row>
    <row r="7" customFormat="false" ht="15" hidden="false" customHeight="false" outlineLevel="0" collapsed="false">
      <c r="A7" s="4" t="s">
        <v>21</v>
      </c>
      <c r="B7" s="5" t="s">
        <v>16</v>
      </c>
      <c r="C7" s="5" t="s">
        <v>22</v>
      </c>
      <c r="D7" s="6" t="n">
        <v>56</v>
      </c>
      <c r="E7" s="6" t="n">
        <v>29</v>
      </c>
      <c r="F7" s="6" t="n">
        <v>59</v>
      </c>
      <c r="G7" s="6" t="s">
        <v>18</v>
      </c>
      <c r="H7" s="7" t="n">
        <v>6</v>
      </c>
      <c r="I7" s="6" t="n">
        <v>69</v>
      </c>
      <c r="J7" s="8" t="n">
        <f aca="false">IF(ISNUMBER(D7),D7*12+N(F7)+N(G7),"–")</f>
        <v>731</v>
      </c>
      <c r="K7" s="8" t="n">
        <f aca="false">IF(ISNUMBER(E7),E7*12+N(F7)+N(G7),"–")</f>
        <v>407</v>
      </c>
      <c r="L7" s="8" t="n">
        <f aca="false">IF(ISNUMBER(D7),D7*12,"–")</f>
        <v>672</v>
      </c>
      <c r="M7" s="8" t="n">
        <f aca="false">IF(ISNUMBER(E7),E7*12,"–")</f>
        <v>348</v>
      </c>
    </row>
    <row r="8" customFormat="false" ht="15" hidden="false" customHeight="false" outlineLevel="0" collapsed="false">
      <c r="A8" s="4" t="s">
        <v>23</v>
      </c>
      <c r="B8" s="5" t="s">
        <v>16</v>
      </c>
      <c r="C8" s="5" t="s">
        <v>22</v>
      </c>
      <c r="D8" s="6" t="n">
        <v>69</v>
      </c>
      <c r="E8" s="6" t="n">
        <v>42</v>
      </c>
      <c r="F8" s="6" t="n">
        <v>59</v>
      </c>
      <c r="G8" s="6" t="s">
        <v>18</v>
      </c>
      <c r="H8" s="7" t="n">
        <v>6</v>
      </c>
      <c r="I8" s="6" t="n">
        <v>69</v>
      </c>
      <c r="J8" s="8" t="n">
        <f aca="false">IF(ISNUMBER(D8),D8*12+N(F8)+N(G8),"–")</f>
        <v>887</v>
      </c>
      <c r="K8" s="8" t="n">
        <f aca="false">IF(ISNUMBER(E8),E8*12+N(F8)+N(G8),"–")</f>
        <v>563</v>
      </c>
      <c r="L8" s="8" t="n">
        <f aca="false">IF(ISNUMBER(D8),D8*12,"–")</f>
        <v>828</v>
      </c>
      <c r="M8" s="8" t="n">
        <f aca="false">IF(ISNUMBER(E8),E8*12,"–")</f>
        <v>504</v>
      </c>
    </row>
    <row r="9" customFormat="false" ht="15" hidden="false" customHeight="false" outlineLevel="0" collapsed="false">
      <c r="A9" s="4" t="s">
        <v>24</v>
      </c>
      <c r="B9" s="5" t="s">
        <v>25</v>
      </c>
      <c r="C9" s="5" t="s">
        <v>22</v>
      </c>
      <c r="D9" s="6" t="n">
        <v>70</v>
      </c>
      <c r="E9" s="6" t="n">
        <v>43</v>
      </c>
      <c r="F9" s="6" t="n">
        <v>59</v>
      </c>
      <c r="G9" s="6" t="s">
        <v>18</v>
      </c>
      <c r="H9" s="7" t="n">
        <v>6</v>
      </c>
      <c r="I9" s="6" t="n">
        <v>69</v>
      </c>
      <c r="J9" s="8" t="n">
        <f aca="false">IF(ISNUMBER(D9),D9*12+N(F9)+N(G9),"–")</f>
        <v>899</v>
      </c>
      <c r="K9" s="8" t="n">
        <f aca="false">IF(ISNUMBER(E9),E9*12+N(F9)+N(G9),"–")</f>
        <v>575</v>
      </c>
      <c r="L9" s="8" t="n">
        <f aca="false">IF(ISNUMBER(D9),D9*12,"–")</f>
        <v>840</v>
      </c>
      <c r="M9" s="8" t="n">
        <f aca="false">IF(ISNUMBER(E9),E9*12,"–")</f>
        <v>516</v>
      </c>
    </row>
    <row r="10" customFormat="false" ht="15" hidden="false" customHeight="false" outlineLevel="0" collapsed="false">
      <c r="A10" s="4" t="s">
        <v>26</v>
      </c>
      <c r="B10" s="5" t="s">
        <v>27</v>
      </c>
      <c r="C10" s="5" t="s">
        <v>17</v>
      </c>
      <c r="D10" s="6" t="n">
        <v>59</v>
      </c>
      <c r="E10" s="6" t="s">
        <v>18</v>
      </c>
      <c r="F10" s="6" t="n">
        <v>79</v>
      </c>
      <c r="G10" s="6" t="n">
        <v>189</v>
      </c>
      <c r="H10" s="7" t="n">
        <v>6</v>
      </c>
      <c r="I10" s="6" t="n">
        <v>69</v>
      </c>
      <c r="J10" s="8" t="n">
        <f aca="false">IF(ISNUMBER(D10),D10*12+N(F10)+N(G10),"–")</f>
        <v>976</v>
      </c>
      <c r="K10" s="8" t="str">
        <f aca="false">IF(ISNUMBER(E10),E10*12+N(F10)+N(G10),"–")</f>
        <v>–</v>
      </c>
      <c r="L10" s="8" t="n">
        <f aca="false">IF(ISNUMBER(D10),D10*12,"–")</f>
        <v>708</v>
      </c>
      <c r="M10" s="8" t="str">
        <f aca="false">IF(ISNUMBER(E10),E10*12,"–")</f>
        <v>–</v>
      </c>
    </row>
    <row r="12" customFormat="false" ht="25.5" hidden="false" customHeight="true" outlineLevel="0" collapsed="false">
      <c r="A12" s="9" t="s">
        <v>28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25.5" hidden="false" customHeight="true" outlineLevel="0" collapsed="false">
      <c r="A13" s="9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25.5" hidden="false" customHeight="true" outlineLevel="0" collapsed="false">
      <c r="A14" s="9" t="s">
        <v>30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customFormat="false" ht="25.5" hidden="false" customHeight="true" outlineLevel="0" collapsed="false">
      <c r="A15" s="9" t="s">
        <v>31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25.5" hidden="false" customHeight="true" outlineLevel="0" collapsed="false">
      <c r="A16" s="9" t="s">
        <v>32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</sheetData>
  <mergeCells count="5">
    <mergeCell ref="A12:M12"/>
    <mergeCell ref="A13:M13"/>
    <mergeCell ref="A14:M14"/>
    <mergeCell ref="A15:M15"/>
    <mergeCell ref="A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25.5" hidden="false" customHeight="true" outlineLevel="0" collapsed="false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</row>
    <row r="5" customFormat="false" ht="45.75" hidden="false" customHeight="true" outlineLevel="0" collapsed="false">
      <c r="A5" s="10" t="s">
        <v>40</v>
      </c>
      <c r="B5" s="11" t="n">
        <v>3</v>
      </c>
      <c r="C5" s="12" t="n">
        <f aca="false">B5*12</f>
        <v>36</v>
      </c>
      <c r="D5" s="13" t="s">
        <v>41</v>
      </c>
      <c r="E5" s="13" t="s">
        <v>42</v>
      </c>
    </row>
    <row r="6" customFormat="false" ht="45.75" hidden="false" customHeight="true" outlineLevel="0" collapsed="false">
      <c r="A6" s="10" t="s">
        <v>43</v>
      </c>
      <c r="B6" s="11" t="n">
        <v>8</v>
      </c>
      <c r="C6" s="12" t="n">
        <f aca="false">B6*12</f>
        <v>96</v>
      </c>
      <c r="D6" s="13" t="s">
        <v>44</v>
      </c>
      <c r="E6" s="13" t="s">
        <v>45</v>
      </c>
    </row>
    <row r="7" customFormat="false" ht="45.75" hidden="false" customHeight="true" outlineLevel="0" collapsed="false">
      <c r="A7" s="10" t="s">
        <v>46</v>
      </c>
      <c r="B7" s="11" t="n">
        <v>7.5</v>
      </c>
      <c r="C7" s="12" t="n">
        <f aca="false">B7*12</f>
        <v>90</v>
      </c>
      <c r="D7" s="13" t="s">
        <v>47</v>
      </c>
      <c r="E7" s="13" t="s">
        <v>48</v>
      </c>
    </row>
    <row r="8" customFormat="false" ht="45.75" hidden="false" customHeight="true" outlineLevel="0" collapsed="false">
      <c r="A8" s="10" t="s">
        <v>49</v>
      </c>
      <c r="B8" s="11" t="n">
        <v>0</v>
      </c>
      <c r="C8" s="12" t="n">
        <f aca="false">B8*12</f>
        <v>0</v>
      </c>
      <c r="D8" s="13" t="s">
        <v>23</v>
      </c>
      <c r="E8" s="13" t="s">
        <v>50</v>
      </c>
    </row>
    <row r="10" customFormat="false" ht="15" hidden="false" customHeight="false" outlineLevel="0" collapsed="false">
      <c r="A10" s="1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2026-07-31T07:31:21Z</dcterms:created>
  <dc:creator>openpyxl</dc:creator>
  <dc:description/>
  <dc:language>en-US</dc:language>
  <cp:lastModifiedBy/>
  <dcterms:modified xsi:type="dcterms:W3CDTF">2026-07-31T07:31:21Z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